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Financial Model Assumptions</t>
        </is>
      </c>
      <c r="B1" s="2" t="inlineStr"/>
      <c r="C1" s="2" t="inlineStr"/>
      <c r="D1" s="2" t="inlineStr"/>
    </row>
    <row r="2">
      <c r="A2" s="3" t="inlineStr">
        <is>
          <t>Category</t>
        </is>
      </c>
      <c r="B2" s="3" t="inlineStr">
        <is>
          <t>Bear Case</t>
        </is>
      </c>
      <c r="C2" s="3" t="inlineStr">
        <is>
          <t>Base Case</t>
        </is>
      </c>
      <c r="D2" s="3" t="inlineStr">
        <is>
          <t>Bull Case</t>
        </is>
      </c>
    </row>
    <row r="3">
      <c r="A3" s="4" t="inlineStr">
        <is>
          <t>Monthly New Customers</t>
        </is>
      </c>
      <c r="B3" s="5" t="n">
        <v>20</v>
      </c>
      <c r="C3" s="5" t="n">
        <v>25</v>
      </c>
      <c r="D3" s="5" t="n">
        <v>30</v>
      </c>
    </row>
    <row r="4">
      <c r="A4" s="4" t="inlineStr">
        <is>
          <t>Customer Acquisition Cost (CAC)</t>
        </is>
      </c>
      <c r="B4" s="6" t="n">
        <v>150</v>
      </c>
      <c r="C4" s="6" t="n">
        <v>125</v>
      </c>
      <c r="D4" s="6" t="n">
        <v>100</v>
      </c>
    </row>
    <row r="5">
      <c r="A5" s="4" t="inlineStr">
        <is>
          <t>ARPU (Monthly Recurring Revenue per Customer)</t>
        </is>
      </c>
      <c r="B5" s="6" t="n">
        <v>18</v>
      </c>
      <c r="C5" s="6" t="n">
        <v>20</v>
      </c>
      <c r="D5" s="6" t="n">
        <v>22</v>
      </c>
    </row>
    <row r="6">
      <c r="A6" s="4" t="inlineStr">
        <is>
          <t>Monthly Churn Rate</t>
        </is>
      </c>
      <c r="B6" s="7" t="n">
        <v>0.08</v>
      </c>
      <c r="C6" s="7" t="n">
        <v>0.05</v>
      </c>
      <c r="D6" s="7" t="n">
        <v>0.03</v>
      </c>
    </row>
    <row r="7">
      <c r="A7" s="4" t="inlineStr">
        <is>
          <t>Variable Cost per Customer</t>
        </is>
      </c>
      <c r="B7" s="6" t="n">
        <v>2</v>
      </c>
      <c r="C7" s="6" t="n">
        <v>2</v>
      </c>
      <c r="D7" s="6" t="n">
        <v>2</v>
      </c>
    </row>
    <row r="8">
      <c r="A8" s="4" t="inlineStr">
        <is>
          <t>Sales &amp; Marketing Spend (Fixed Monthly)</t>
        </is>
      </c>
      <c r="B8" s="6" t="n">
        <v>1500</v>
      </c>
      <c r="C8" s="6" t="n">
        <v>1500</v>
      </c>
      <c r="D8" s="6" t="n">
        <v>1500</v>
      </c>
    </row>
    <row r="9">
      <c r="A9" s="4" t="inlineStr">
        <is>
          <t>Product Development (Fixed Monthly)</t>
        </is>
      </c>
      <c r="B9" s="6" t="n">
        <v>3000</v>
      </c>
      <c r="C9" s="6" t="n">
        <v>3000</v>
      </c>
      <c r="D9" s="6" t="n">
        <v>3000</v>
      </c>
    </row>
    <row r="10">
      <c r="A10" s="4" t="inlineStr">
        <is>
          <t>General &amp; Administrative (Fixed Monthly)</t>
        </is>
      </c>
      <c r="B10" s="6" t="n">
        <v>1000</v>
      </c>
      <c r="C10" s="6" t="n">
        <v>1000</v>
      </c>
      <c r="D10" s="6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Unit Economics (Monthly)</t>
        </is>
      </c>
      <c r="B1" s="2" t="inlineStr"/>
      <c r="C1" s="2" t="inlineStr"/>
      <c r="D1" s="2" t="inlineStr"/>
    </row>
    <row r="2">
      <c r="A2" s="3" t="inlineStr">
        <is>
          <t>Metric</t>
        </is>
      </c>
      <c r="B2" s="3" t="inlineStr">
        <is>
          <t>Bear Case</t>
        </is>
      </c>
      <c r="C2" s="3" t="inlineStr">
        <is>
          <t>Base Case</t>
        </is>
      </c>
      <c r="D2" s="3" t="inlineStr">
        <is>
          <t>Bull Case</t>
        </is>
      </c>
    </row>
    <row r="3">
      <c r="A3" s="4" t="inlineStr">
        <is>
          <t>ARPU</t>
        </is>
      </c>
      <c r="B3" s="6">
        <f>'Assumptions'!B5</f>
        <v/>
      </c>
      <c r="C3" s="6">
        <f>'Assumptions'!C5</f>
        <v/>
      </c>
      <c r="D3" s="6">
        <f>'Assumptions'!D5</f>
        <v/>
      </c>
    </row>
    <row r="4">
      <c r="A4" s="4" t="inlineStr">
        <is>
          <t>CAC</t>
        </is>
      </c>
      <c r="B4" s="6">
        <f>'Assumptions'!B4</f>
        <v/>
      </c>
      <c r="C4" s="6">
        <f>'Assumptions'!C4</f>
        <v/>
      </c>
      <c r="D4" s="6">
        <f>'Assumptions'!D4</f>
        <v/>
      </c>
    </row>
    <row r="5">
      <c r="A5" s="4" t="inlineStr">
        <is>
          <t>Monthly Churn Rate</t>
        </is>
      </c>
      <c r="B5" s="7">
        <f>'Assumptions'!B6</f>
        <v/>
      </c>
      <c r="C5" s="7">
        <f>'Assumptions'!C6</f>
        <v/>
      </c>
      <c r="D5" s="7">
        <f>'Assumptions'!D6</f>
        <v/>
      </c>
    </row>
    <row r="6">
      <c r="A6" s="4" t="inlineStr">
        <is>
          <t>Variable Cost per Customer</t>
        </is>
      </c>
      <c r="B6" s="6">
        <f>'Assumptions'!B7</f>
        <v/>
      </c>
      <c r="C6" s="6">
        <f>'Assumptions'!C7</f>
        <v/>
      </c>
      <c r="D6" s="6">
        <f>'Assumptions'!D7</f>
        <v/>
      </c>
    </row>
    <row r="7">
      <c r="A7" s="4" t="inlineStr">
        <is>
          <t>Gross Margin per Customer</t>
        </is>
      </c>
      <c r="B7" s="6">
        <f>B3-B6</f>
        <v/>
      </c>
      <c r="C7" s="6">
        <f>C3-C6</f>
        <v/>
      </c>
      <c r="D7" s="6">
        <f>D3-D6</f>
        <v/>
      </c>
    </row>
    <row r="8">
      <c r="A8" s="4" t="inlineStr">
        <is>
          <t>LTV (Lifetime Value)</t>
        </is>
      </c>
      <c r="B8" s="6">
        <f>B7/B5</f>
        <v/>
      </c>
      <c r="C8" s="6">
        <f>C7/C5</f>
        <v/>
      </c>
      <c r="D8" s="6">
        <f>D7/D5</f>
        <v/>
      </c>
    </row>
    <row r="9">
      <c r="A9" s="4" t="inlineStr">
        <is>
          <t>LTV:CAC Ratio</t>
        </is>
      </c>
      <c r="B9" s="8">
        <f>B8/B4</f>
        <v/>
      </c>
      <c r="C9" s="8">
        <f>C8/C4</f>
        <v/>
      </c>
      <c r="D9" s="8">
        <f>D8/D4</f>
        <v/>
      </c>
    </row>
    <row r="10">
      <c r="A10" s="4" t="inlineStr">
        <is>
          <t>Payback Period (Months)</t>
        </is>
      </c>
      <c r="B10" s="8">
        <f>B4/B7</f>
        <v/>
      </c>
      <c r="C10" s="8">
        <f>C4/C7</f>
        <v/>
      </c>
      <c r="D10" s="8">
        <f>D4/D7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Profit &amp; Loss (Monthly)</t>
        </is>
      </c>
      <c r="B1" s="2" t="inlineStr"/>
      <c r="C1" s="2" t="inlineStr"/>
      <c r="D1" s="2" t="inlineStr"/>
    </row>
    <row r="2">
      <c r="A2" s="3" t="inlineStr">
        <is>
          <t>Metric</t>
        </is>
      </c>
      <c r="B2" s="3" t="inlineStr">
        <is>
          <t>Bear Case</t>
        </is>
      </c>
      <c r="C2" s="3" t="inlineStr">
        <is>
          <t>Base Case</t>
        </is>
      </c>
      <c r="D2" s="3" t="inlineStr">
        <is>
          <t>Bull Case</t>
        </is>
      </c>
    </row>
    <row r="3">
      <c r="A3" s="4" t="inlineStr">
        <is>
          <t>New Customers</t>
        </is>
      </c>
      <c r="B3" s="5">
        <f>'Assumptions'!B3</f>
        <v/>
      </c>
      <c r="C3" s="5">
        <f>'Assumptions'!C3</f>
        <v/>
      </c>
      <c r="D3" s="5">
        <f>'Assumptions'!D3</f>
        <v/>
      </c>
    </row>
    <row r="4">
      <c r="A4" s="4" t="inlineStr">
        <is>
          <t>Total Customers (Month 1)</t>
        </is>
      </c>
      <c r="B4" s="5">
        <f>B3</f>
        <v/>
      </c>
      <c r="C4" s="5">
        <f>C3</f>
        <v/>
      </c>
      <c r="D4" s="5">
        <f>D3</f>
        <v/>
      </c>
    </row>
    <row r="5">
      <c r="A5" s="4" t="inlineStr">
        <is>
          <t>Revenue</t>
        </is>
      </c>
      <c r="B5" s="6">
        <f>B4*'Assumptions'!B5</f>
        <v/>
      </c>
      <c r="C5" s="6">
        <f>C4*'Assumptions'!C5</f>
        <v/>
      </c>
      <c r="D5" s="6">
        <f>D4*'Assumptions'!D5</f>
        <v/>
      </c>
    </row>
    <row r="6">
      <c r="A6" s="4" t="inlineStr">
        <is>
          <t>COGS</t>
        </is>
      </c>
      <c r="B6" s="6">
        <f>B4*'Assumptions'!B7</f>
        <v/>
      </c>
      <c r="C6" s="6">
        <f>C4*'Assumptions'!C7</f>
        <v/>
      </c>
      <c r="D6" s="6">
        <f>D4*'Assumptions'!D7</f>
        <v/>
      </c>
    </row>
    <row r="7">
      <c r="A7" s="4" t="inlineStr">
        <is>
          <t>Gross Profit</t>
        </is>
      </c>
      <c r="B7" s="6">
        <f>B5-B6</f>
        <v/>
      </c>
      <c r="C7" s="6">
        <f>C5-C6</f>
        <v/>
      </c>
      <c r="D7" s="6">
        <f>D5-D6</f>
        <v/>
      </c>
    </row>
    <row r="8">
      <c r="A8" s="3" t="inlineStr">
        <is>
          <t>Operating Expenses</t>
        </is>
      </c>
    </row>
    <row r="9">
      <c r="A9" s="4" t="inlineStr">
        <is>
          <t>Sales &amp; Marketing</t>
        </is>
      </c>
      <c r="B9" s="6">
        <f>'Assumptions'!B8</f>
        <v/>
      </c>
      <c r="C9" s="6">
        <f>'Assumptions'!C8</f>
        <v/>
      </c>
      <c r="D9" s="6">
        <f>'Assumptions'!D8</f>
        <v/>
      </c>
    </row>
    <row r="10">
      <c r="A10" s="4" t="inlineStr">
        <is>
          <t>Product Development</t>
        </is>
      </c>
      <c r="B10" s="6">
        <f>'Assumptions'!B9</f>
        <v/>
      </c>
      <c r="C10" s="6">
        <f>'Assumptions'!C9</f>
        <v/>
      </c>
      <c r="D10" s="6">
        <f>'Assumptions'!D9</f>
        <v/>
      </c>
    </row>
    <row r="11">
      <c r="A11" s="4" t="inlineStr">
        <is>
          <t>General &amp; Administrative</t>
        </is>
      </c>
      <c r="B11" s="6">
        <f>'Assumptions'!B10</f>
        <v/>
      </c>
      <c r="C11" s="6">
        <f>'Assumptions'!C10</f>
        <v/>
      </c>
      <c r="D11" s="6">
        <f>'Assumptions'!D10</f>
        <v/>
      </c>
    </row>
    <row r="12">
      <c r="A12" s="4" t="inlineStr">
        <is>
          <t>Total Operating Expenses</t>
        </is>
      </c>
      <c r="B12" s="6">
        <f>SUM(B9:B11)</f>
        <v/>
      </c>
      <c r="C12" s="6">
        <f>SUM(C9:C11)</f>
        <v/>
      </c>
      <c r="D12" s="6">
        <f>SUM(D9:D11)</f>
        <v/>
      </c>
    </row>
    <row r="13">
      <c r="A13" s="4" t="inlineStr">
        <is>
          <t>Net Income</t>
        </is>
      </c>
      <c r="B13" s="9">
        <f>B7-B12</f>
        <v/>
      </c>
      <c r="C13" s="9">
        <f>C7-C12</f>
        <v/>
      </c>
      <c r="D13" s="9">
        <f>D7-D12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Sensitivity Analysis (Net Income Impact)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Variable</t>
        </is>
      </c>
      <c r="B2" s="3" t="inlineStr">
        <is>
          <t>Base Case Net Income</t>
        </is>
      </c>
      <c r="C2" s="3" t="inlineStr">
        <is>
          <t>-20% Change</t>
        </is>
      </c>
      <c r="D2" s="3" t="inlineStr">
        <is>
          <t>Net Income (-20%)</t>
        </is>
      </c>
      <c r="E2" s="3" t="inlineStr">
        <is>
          <t>+20% Change</t>
        </is>
      </c>
      <c r="F2" s="3" t="inlineStr">
        <is>
          <t>Net Income (+20%)</t>
        </is>
      </c>
    </row>
    <row r="3">
      <c r="A3" s="4" t="inlineStr">
        <is>
          <t>Monthly New Customers</t>
        </is>
      </c>
      <c r="B3" s="6">
        <f>P&amp;L!C13</f>
        <v/>
      </c>
      <c r="C3" s="5">
        <f>'Assumptions'!C3*0.8</f>
        <v/>
      </c>
      <c r="D3" s="6">
        <f>(P&amp;L!C5/P&amp;L!C4)*C3 - (P&amp;L!C6/P&amp;L!C4)*C3 - P&amp;L!C12</f>
        <v/>
      </c>
      <c r="E3" s="5">
        <f>'Assumptions'!C3*1.2</f>
        <v/>
      </c>
      <c r="F3" s="6">
        <f>(P&amp;L!C5/P&amp;L!C4)*E3 - (P&amp;L!C6/P&amp;L!C4)*E3 - P&amp;L!C12</f>
        <v/>
      </c>
    </row>
    <row r="4">
      <c r="A4" s="4" t="inlineStr">
        <is>
          <t>ARPU</t>
        </is>
      </c>
      <c r="B4" s="6">
        <f>P&amp;L!C13</f>
        <v/>
      </c>
      <c r="C4" s="6">
        <f>'Assumptions'!C5*0.8</f>
        <v/>
      </c>
      <c r="D4" s="6">
        <f>P&amp;L!C4*C4 - P&amp;L!C6 - P&amp;L!C12</f>
        <v/>
      </c>
      <c r="E4" s="6">
        <f>'Assumptions'!C5*1.2</f>
        <v/>
      </c>
      <c r="F4" s="6">
        <f>P&amp;L!C4*E4 - P&amp;L!C6 - P&amp;L!C12</f>
        <v/>
      </c>
    </row>
    <row r="5">
      <c r="A5" s="4" t="inlineStr">
        <is>
          <t>Monthly Churn Rate</t>
        </is>
      </c>
      <c r="B5" s="6">
        <f>P&amp;L!C13</f>
        <v/>
      </c>
      <c r="C5" s="7">
        <f>'Assumptions'!C6*1.2</f>
        <v/>
      </c>
      <c r="D5" s="6">
        <f>(P&amp;L!C5/P&amp;L!C4)*(P&amp;L!C4*(1-C5)) - (P&amp;L!C6/P&amp;L!C4)*(P&amp;L!C4*(1-C5)) - P&amp;L!C12</f>
        <v/>
      </c>
      <c r="E5" s="7">
        <f>'Assumptions'!C6*0.8</f>
        <v/>
      </c>
      <c r="F5" s="6">
        <f>(P&amp;L!C5/P&amp;L!C4)*(P&amp;L!C4*(1-E5)) - (P&amp;L!C6/P&amp;L!C4)*(P&amp;L!C4*(1-E5)) - P&amp;L!C12</f>
        <v/>
      </c>
    </row>
    <row r="6">
      <c r="A6" s="4" t="inlineStr">
        <is>
          <t>CAC</t>
        </is>
      </c>
      <c r="B6" s="6">
        <f>P&amp;L!C13</f>
        <v/>
      </c>
      <c r="C6" s="6">
        <f>'Assumptions'!C4*1.2</f>
        <v/>
      </c>
      <c r="D6" s="6">
        <f>P&amp;L!C7 - P&amp;L!C9 - P&amp;L!C10 - P&amp;L!C11</f>
        <v/>
      </c>
      <c r="E6" s="6">
        <f>'Assumptions'!C4*0.8</f>
        <v/>
      </c>
      <c r="F6" s="6">
        <f>P&amp;L!C7 - P&amp;L!C9 - P&amp;L!C10 - P&amp;L!C11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2026-05-18T03:49:35Z</dcterms:created>
  <dcterms:modified xmlns:dcterms="http://purl.org/dc/terms/" xmlns:xsi="http://www.w3.org/2001/XMLSchema-instance" xsi:type="dcterms:W3CDTF">2026-05-18T03:49:35Z</dcterms:modified>
</cp:coreProperties>
</file>